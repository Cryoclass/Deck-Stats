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oing First" sheetId="1" state="visible" r:id="rId3"/>
    <sheet name="Going Second" sheetId="2" state="visible" r:id="rId4"/>
    <sheet name="Synthès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<sst xmlns="http://schemas.openxmlformats.org/spreadsheetml/2006/main" count="75" uniqueCount="39">
  <si>
    <t xml:space="preserve">MATRICE STARTERS × NON-ENGINE — GOING FIRST</t>
  </si>
  <si>
    <t xml:space="preserve">Probabilite de la main d'ouverture (5 cartes). is = starters, ne = non-engine. Donnees saisies en bleu.</t>
  </si>
  <si>
    <t xml:space="preserve">A. MITSURUGI PURE</t>
  </si>
  <si>
    <t xml:space="preserve">is \ ne</t>
  </si>
  <si>
    <t xml:space="preserve">Total</t>
  </si>
  <si>
    <t xml:space="preserve">≥3</t>
  </si>
  <si>
    <t xml:space="preserve">B. ORCUST</t>
  </si>
  <si>
    <t xml:space="preserve">C. DELTA  (Orcust − Pure, en points de %)</t>
  </si>
  <si>
    <t xml:space="preserve">Vert = plus de probabilite en Orcust, rouge = moins. Attention : « plus » n'est pas toujours « mieux » (ex. colonne ne=0). Voir l'onglet Synthese pour le sens de lecture.</t>
  </si>
  <si>
    <t xml:space="preserve">MATRICE STARTERS × NON-ENGINE — GOING SECOND</t>
  </si>
  <si>
    <t xml:space="preserve">Probabilite de la main d'ouverture (6 cartes). is = starters, ne = non-engine. Donnees saisies en bleu.</t>
  </si>
  <si>
    <t xml:space="preserve">5+</t>
  </si>
  <si>
    <t xml:space="preserve">SYNTHÈSE COMPARATIVE — MITSURUGI PURE vs ORCUST</t>
  </si>
  <si>
    <t xml:space="preserve">Agrégats calculés depuis les onglets Going First / Going Second. Δ en points de %.</t>
  </si>
  <si>
    <t xml:space="preserve">Indicateur</t>
  </si>
  <si>
    <t xml:space="preserve">Pure GF</t>
  </si>
  <si>
    <t xml:space="preserve">Orcust GF</t>
  </si>
  <si>
    <t xml:space="preserve">Δ GF</t>
  </si>
  <si>
    <t xml:space="preserve">Pure GS</t>
  </si>
  <si>
    <t xml:space="preserve">Orcust GS</t>
  </si>
  <si>
    <t xml:space="preserve">Δ GS</t>
  </si>
  <si>
    <t xml:space="preserve">Sens souhaité</t>
  </si>
  <si>
    <t xml:space="preserve">Brick starters (0 starter)</t>
  </si>
  <si>
    <t xml:space="preserve">↓ plus bas = mieux</t>
  </si>
  <si>
    <t xml:space="preserve">≥1 starter</t>
  </si>
  <si>
    <t xml:space="preserve">↑</t>
  </si>
  <si>
    <t xml:space="preserve">≥2 starters</t>
  </si>
  <si>
    <t xml:space="preserve">≥3 starters</t>
  </si>
  <si>
    <t xml:space="preserve">0 non-engine</t>
  </si>
  <si>
    <t xml:space="preserve">≥1 non-engine</t>
  </si>
  <si>
    <t xml:space="preserve">≥2 non-engine</t>
  </si>
  <si>
    <t xml:space="preserve">≥3 non-engine</t>
  </si>
  <si>
    <t xml:space="preserve">↑ (surtout GS)</t>
  </si>
  <si>
    <t xml:space="preserve">Zone jouable : ≥1 starter ET ≥1 non-engine</t>
  </si>
  <si>
    <t xml:space="preserve">Main forte : ≥2 starters ET ≥2 non-engine</t>
  </si>
  <si>
    <t xml:space="preserve">Moyenne starters (plancher, ≥3 compté = 3)</t>
  </si>
  <si>
    <t xml:space="preserve">Moyenne non-engine</t>
  </si>
  <si>
    <t xml:space="preserve">Lecture du Δ : vert = valeur plus élevée en Orcust. Croiser avec la colonne « Sens souhaité » : sur les lignes « Brick » et « 0 non-engine », un Δ vert est un mauvais signe.</t>
  </si>
  <si>
    <t xml:space="preserve">Source des données : matrices exportées de l'outil d'analyse de deck de l'utilisateur (captures fournies le 12/08/2026). Les cellules vides de l'outil ont été saisies comme 0,0 %. La moyenne starters est un plancher : la catégorie « ≥3 » est comptée comme exactement 3.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</si>
</sst>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;\-0.0%;\·"/>
    <numFmt numFmtId="166" formatCode="\+0.0%;\-0.0%;\·"/>
    <numFmt numFmtId="167" formatCode="0.00"/>
    <numFmt numFmtId="168" formatCode="\+0.00;\-0.00;\·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00000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833C00"/>
      <name val="Arial"/>
      <family val="0"/>
      <charset val="1"/>
    </font>
    <font>
      <b val="true"/>
      <sz val="11"/>
      <color rgb="FF7030A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2F2F2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833C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7" min="2" style="0" width="9.51"/>
    <col collapsed="false" customWidth="true" hidden="false" outlineLevel="0" max="8" min="8" style="0" width="1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 t="n">
        <v>0</v>
      </c>
      <c r="C5" s="4" t="n">
        <v>1</v>
      </c>
      <c r="D5" s="4" t="n">
        <v>2</v>
      </c>
      <c r="E5" s="4" t="n">
        <v>3</v>
      </c>
      <c r="F5" s="4" t="n">
        <v>4</v>
      </c>
      <c r="G5" s="4" t="n">
        <v>5</v>
      </c>
      <c r="H5" s="4" t="s">
        <v>4</v>
      </c>
    </row>
    <row r="6" customFormat="false" ht="15" hidden="false" customHeight="false" outlineLevel="0" collapsed="false">
      <c r="A6" s="5" t="n">
        <v>0</v>
      </c>
      <c r="B6" s="6" t="n">
        <v>0.002</v>
      </c>
      <c r="C6" s="6" t="n">
        <v>0.014</v>
      </c>
      <c r="D6" s="6" t="n">
        <v>0.035</v>
      </c>
      <c r="E6" s="6" t="n">
        <v>0.031</v>
      </c>
      <c r="F6" s="6" t="n">
        <v>0.009</v>
      </c>
      <c r="G6" s="6" t="n">
        <v>0.001</v>
      </c>
      <c r="H6" s="7" t="n">
        <f aca="false">SUM(B6:G6)</f>
        <v>0.092</v>
      </c>
    </row>
    <row r="7" customFormat="false" ht="15" hidden="false" customHeight="false" outlineLevel="0" collapsed="false">
      <c r="A7" s="5" t="n">
        <v>1</v>
      </c>
      <c r="B7" s="6" t="n">
        <v>0.016</v>
      </c>
      <c r="C7" s="6" t="n">
        <v>0.098</v>
      </c>
      <c r="D7" s="6" t="n">
        <v>0.156</v>
      </c>
      <c r="E7" s="6" t="n">
        <v>0.073</v>
      </c>
      <c r="F7" s="6" t="n">
        <v>0.008</v>
      </c>
      <c r="G7" s="6" t="n">
        <v>0</v>
      </c>
      <c r="H7" s="7" t="n">
        <f aca="false">SUM(B7:G7)</f>
        <v>0.351</v>
      </c>
    </row>
    <row r="8" customFormat="false" ht="15" hidden="false" customHeight="false" outlineLevel="0" collapsed="false">
      <c r="A8" s="5" t="n">
        <v>2</v>
      </c>
      <c r="B8" s="6" t="n">
        <v>0.048</v>
      </c>
      <c r="C8" s="6" t="n">
        <v>0.178</v>
      </c>
      <c r="D8" s="6" t="n">
        <v>0.144</v>
      </c>
      <c r="E8" s="6" t="n">
        <v>0.022</v>
      </c>
      <c r="F8" s="6" t="n">
        <v>0</v>
      </c>
      <c r="G8" s="6" t="n">
        <v>0</v>
      </c>
      <c r="H8" s="7" t="n">
        <f aca="false">SUM(B8:G8)</f>
        <v>0.392</v>
      </c>
    </row>
    <row r="9" customFormat="false" ht="15" hidden="false" customHeight="false" outlineLevel="0" collapsed="false">
      <c r="A9" s="5" t="s">
        <v>5</v>
      </c>
      <c r="B9" s="6" t="n">
        <v>0.058</v>
      </c>
      <c r="C9" s="6" t="n">
        <v>0.088</v>
      </c>
      <c r="D9" s="6" t="n">
        <v>0.02</v>
      </c>
      <c r="E9" s="6" t="n">
        <v>0</v>
      </c>
      <c r="F9" s="6" t="n">
        <v>0</v>
      </c>
      <c r="G9" s="6" t="n">
        <v>0</v>
      </c>
      <c r="H9" s="7" t="n">
        <f aca="false">SUM(B9:G9)</f>
        <v>0.166</v>
      </c>
    </row>
    <row r="10" customFormat="false" ht="15" hidden="false" customHeight="false" outlineLevel="0" collapsed="false">
      <c r="A10" s="8" t="s">
        <v>4</v>
      </c>
      <c r="B10" s="7" t="n">
        <f aca="false">SUM(B6:B9)</f>
        <v>0.124</v>
      </c>
      <c r="C10" s="7" t="n">
        <f aca="false">SUM(C6:C9)</f>
        <v>0.378</v>
      </c>
      <c r="D10" s="7" t="n">
        <f aca="false">SUM(D6:D9)</f>
        <v>0.355</v>
      </c>
      <c r="E10" s="7" t="n">
        <f aca="false">SUM(E6:E9)</f>
        <v>0.126</v>
      </c>
      <c r="F10" s="7" t="n">
        <f aca="false">SUM(F6:F9)</f>
        <v>0.017</v>
      </c>
      <c r="G10" s="7" t="n">
        <f aca="false">SUM(G6:G9)</f>
        <v>0.001</v>
      </c>
      <c r="H10" s="7" t="n">
        <f aca="false">SUM(H6:H9)</f>
        <v>1.001</v>
      </c>
    </row>
    <row r="12" customFormat="false" ht="15" hidden="false" customHeight="false" outlineLevel="0" collapsed="false">
      <c r="A12" s="9" t="s">
        <v>6</v>
      </c>
    </row>
    <row r="13" customFormat="false" ht="15" hidden="false" customHeight="false" outlineLevel="0" collapsed="false">
      <c r="A13" s="4" t="s">
        <v>3</v>
      </c>
      <c r="B13" s="4" t="n">
        <v>0</v>
      </c>
      <c r="C13" s="4" t="n">
        <v>1</v>
      </c>
      <c r="D13" s="4" t="n">
        <v>2</v>
      </c>
      <c r="E13" s="4" t="n">
        <v>3</v>
      </c>
      <c r="F13" s="4" t="n">
        <v>4</v>
      </c>
      <c r="G13" s="4" t="n">
        <v>5</v>
      </c>
      <c r="H13" s="4" t="s">
        <v>4</v>
      </c>
    </row>
    <row r="14" customFormat="false" ht="15" hidden="false" customHeight="false" outlineLevel="0" collapsed="false">
      <c r="A14" s="5" t="n">
        <v>0</v>
      </c>
      <c r="B14" s="6" t="n">
        <v>0.003</v>
      </c>
      <c r="C14" s="6" t="n">
        <v>0.02</v>
      </c>
      <c r="D14" s="6" t="n">
        <v>0.037</v>
      </c>
      <c r="E14" s="6" t="n">
        <v>0.02</v>
      </c>
      <c r="F14" s="6" t="n">
        <v>0.003</v>
      </c>
      <c r="G14" s="6" t="n">
        <v>0</v>
      </c>
      <c r="H14" s="7" t="n">
        <f aca="false">SUM(B14:G14)</f>
        <v>0.083</v>
      </c>
    </row>
    <row r="15" customFormat="false" ht="15" hidden="false" customHeight="false" outlineLevel="0" collapsed="false">
      <c r="A15" s="5" t="n">
        <v>1</v>
      </c>
      <c r="B15" s="6" t="n">
        <v>0.028</v>
      </c>
      <c r="C15" s="6" t="n">
        <v>0.13</v>
      </c>
      <c r="D15" s="6" t="n">
        <v>0.137</v>
      </c>
      <c r="E15" s="6" t="n">
        <v>0.04</v>
      </c>
      <c r="F15" s="6" t="n">
        <v>0.003</v>
      </c>
      <c r="G15" s="6" t="n">
        <v>0</v>
      </c>
      <c r="H15" s="7" t="n">
        <f aca="false">SUM(B15:G15)</f>
        <v>0.338</v>
      </c>
    </row>
    <row r="16" customFormat="false" ht="15" hidden="false" customHeight="false" outlineLevel="0" collapsed="false">
      <c r="A16" s="5" t="n">
        <v>2</v>
      </c>
      <c r="B16" s="6" t="n">
        <v>0.074</v>
      </c>
      <c r="C16" s="6" t="n">
        <v>0.197</v>
      </c>
      <c r="D16" s="6" t="n">
        <v>0.111</v>
      </c>
      <c r="E16" s="6" t="n">
        <v>0.013</v>
      </c>
      <c r="F16" s="6" t="n">
        <v>0</v>
      </c>
      <c r="G16" s="6" t="n">
        <v>0</v>
      </c>
      <c r="H16" s="7" t="n">
        <f aca="false">SUM(B16:G16)</f>
        <v>0.395</v>
      </c>
    </row>
    <row r="17" customFormat="false" ht="15" hidden="false" customHeight="false" outlineLevel="0" collapsed="false">
      <c r="A17" s="5" t="s">
        <v>5</v>
      </c>
      <c r="B17" s="6" t="n">
        <v>0.075</v>
      </c>
      <c r="C17" s="6" t="n">
        <v>0.09</v>
      </c>
      <c r="D17" s="6" t="n">
        <v>0.018</v>
      </c>
      <c r="E17" s="6" t="n">
        <v>0</v>
      </c>
      <c r="F17" s="6" t="n">
        <v>0</v>
      </c>
      <c r="G17" s="6" t="n">
        <v>0</v>
      </c>
      <c r="H17" s="7" t="n">
        <f aca="false">SUM(B17:G17)</f>
        <v>0.183</v>
      </c>
    </row>
    <row r="18" customFormat="false" ht="15" hidden="false" customHeight="false" outlineLevel="0" collapsed="false">
      <c r="A18" s="8" t="s">
        <v>4</v>
      </c>
      <c r="B18" s="7" t="n">
        <f aca="false">SUM(B14:B17)</f>
        <v>0.18</v>
      </c>
      <c r="C18" s="7" t="n">
        <f aca="false">SUM(C14:C17)</f>
        <v>0.437</v>
      </c>
      <c r="D18" s="7" t="n">
        <f aca="false">SUM(D14:D17)</f>
        <v>0.303</v>
      </c>
      <c r="E18" s="7" t="n">
        <f aca="false">SUM(E14:E17)</f>
        <v>0.073</v>
      </c>
      <c r="F18" s="7" t="n">
        <f aca="false">SUM(F14:F17)</f>
        <v>0.006</v>
      </c>
      <c r="G18" s="7" t="n">
        <f aca="false">SUM(G14:G17)</f>
        <v>0</v>
      </c>
      <c r="H18" s="7" t="n">
        <f aca="false">SUM(H14:H17)</f>
        <v>0.999</v>
      </c>
    </row>
    <row r="20" customFormat="false" ht="15" hidden="false" customHeight="false" outlineLevel="0" collapsed="false">
      <c r="A20" s="10" t="s">
        <v>7</v>
      </c>
    </row>
    <row r="21" customFormat="false" ht="15" hidden="false" customHeight="false" outlineLevel="0" collapsed="false">
      <c r="A21" s="4" t="s">
        <v>3</v>
      </c>
      <c r="B21" s="4" t="n">
        <v>0</v>
      </c>
      <c r="C21" s="4" t="n">
        <v>1</v>
      </c>
      <c r="D21" s="4" t="n">
        <v>2</v>
      </c>
      <c r="E21" s="4" t="n">
        <v>3</v>
      </c>
      <c r="F21" s="4" t="n">
        <v>4</v>
      </c>
      <c r="G21" s="4" t="n">
        <v>5</v>
      </c>
      <c r="H21" s="4" t="s">
        <v>4</v>
      </c>
    </row>
    <row r="22" customFormat="false" ht="15" hidden="false" customHeight="false" outlineLevel="0" collapsed="false">
      <c r="A22" s="5" t="n">
        <v>0</v>
      </c>
      <c r="B22" s="11" t="n">
        <f aca="false">B14-B6</f>
        <v>0.001</v>
      </c>
      <c r="C22" s="11" t="n">
        <f aca="false">C14-C6</f>
        <v>0.006</v>
      </c>
      <c r="D22" s="11" t="n">
        <f aca="false">D14-D6</f>
        <v>0.00200000000000001</v>
      </c>
      <c r="E22" s="11" t="n">
        <f aca="false">E14-E6</f>
        <v>-0.011</v>
      </c>
      <c r="F22" s="11" t="n">
        <f aca="false">F14-F6</f>
        <v>-0.006</v>
      </c>
      <c r="G22" s="11" t="n">
        <f aca="false">G14-G6</f>
        <v>-0.001</v>
      </c>
      <c r="H22" s="12" t="n">
        <f aca="false">SUM(B22:G22)</f>
        <v>-0.00899999999999999</v>
      </c>
    </row>
    <row r="23" customFormat="false" ht="15" hidden="false" customHeight="false" outlineLevel="0" collapsed="false">
      <c r="A23" s="5" t="n">
        <v>1</v>
      </c>
      <c r="B23" s="11" t="n">
        <f aca="false">B15-B7</f>
        <v>0.012</v>
      </c>
      <c r="C23" s="11" t="n">
        <f aca="false">C15-C7</f>
        <v>0.032</v>
      </c>
      <c r="D23" s="11" t="n">
        <f aca="false">D15-D7</f>
        <v>-0.019</v>
      </c>
      <c r="E23" s="11" t="n">
        <f aca="false">E15-E7</f>
        <v>-0.033</v>
      </c>
      <c r="F23" s="11" t="n">
        <f aca="false">F15-F7</f>
        <v>-0.005</v>
      </c>
      <c r="G23" s="11" t="n">
        <f aca="false">G15-G7</f>
        <v>0</v>
      </c>
      <c r="H23" s="12" t="n">
        <f aca="false">SUM(B23:G23)</f>
        <v>-0.013</v>
      </c>
    </row>
    <row r="24" customFormat="false" ht="15" hidden="false" customHeight="false" outlineLevel="0" collapsed="false">
      <c r="A24" s="5" t="n">
        <v>2</v>
      </c>
      <c r="B24" s="11" t="n">
        <f aca="false">B16-B8</f>
        <v>0.026</v>
      </c>
      <c r="C24" s="11" t="n">
        <f aca="false">C16-C8</f>
        <v>0.019</v>
      </c>
      <c r="D24" s="11" t="n">
        <f aca="false">D16-D8</f>
        <v>-0.033</v>
      </c>
      <c r="E24" s="11" t="n">
        <f aca="false">E16-E8</f>
        <v>-0.009</v>
      </c>
      <c r="F24" s="11" t="n">
        <f aca="false">F16-F8</f>
        <v>0</v>
      </c>
      <c r="G24" s="11" t="n">
        <f aca="false">G16-G8</f>
        <v>0</v>
      </c>
      <c r="H24" s="12" t="n">
        <f aca="false">SUM(B24:G24)</f>
        <v>0.00300000000000004</v>
      </c>
    </row>
    <row r="25" customFormat="false" ht="15" hidden="false" customHeight="false" outlineLevel="0" collapsed="false">
      <c r="A25" s="5" t="s">
        <v>5</v>
      </c>
      <c r="B25" s="11" t="n">
        <f aca="false">B17-B9</f>
        <v>0.017</v>
      </c>
      <c r="C25" s="11" t="n">
        <f aca="false">C17-C9</f>
        <v>0.00199999999999999</v>
      </c>
      <c r="D25" s="11" t="n">
        <f aca="false">D17-D9</f>
        <v>-0.002</v>
      </c>
      <c r="E25" s="11" t="n">
        <f aca="false">E17-E9</f>
        <v>0</v>
      </c>
      <c r="F25" s="11" t="n">
        <f aca="false">F17-F9</f>
        <v>0</v>
      </c>
      <c r="G25" s="11" t="n">
        <f aca="false">G17-G9</f>
        <v>0</v>
      </c>
      <c r="H25" s="12" t="n">
        <f aca="false">SUM(B25:G25)</f>
        <v>0.017</v>
      </c>
    </row>
    <row r="26" customFormat="false" ht="15" hidden="false" customHeight="false" outlineLevel="0" collapsed="false">
      <c r="A26" s="8" t="s">
        <v>4</v>
      </c>
      <c r="B26" s="12" t="n">
        <f aca="false">SUM(B22:B25)</f>
        <v>0.056</v>
      </c>
      <c r="C26" s="12" t="n">
        <f aca="false">SUM(C22:C25)</f>
        <v>0.059</v>
      </c>
      <c r="D26" s="12" t="n">
        <f aca="false">SUM(D22:D25)</f>
        <v>-0.052</v>
      </c>
      <c r="E26" s="12" t="n">
        <f aca="false">SUM(E22:E25)</f>
        <v>-0.053</v>
      </c>
      <c r="F26" s="12" t="n">
        <f aca="false">SUM(F22:F25)</f>
        <v>-0.011</v>
      </c>
      <c r="G26" s="12" t="n">
        <f aca="false">SUM(G22:G25)</f>
        <v>-0.001</v>
      </c>
      <c r="H26" s="12" t="n">
        <f aca="false">SUM(H22:H25)</f>
        <v>-0.00199999999999995</v>
      </c>
    </row>
    <row r="28" customFormat="false" ht="15" hidden="false" customHeight="false" outlineLevel="0" collapsed="false">
      <c r="A28" s="13" t="s">
        <v>8</v>
      </c>
      <c r="B28" s="13"/>
      <c r="C28" s="13"/>
      <c r="D28" s="13"/>
      <c r="E28" s="13"/>
      <c r="F28" s="13"/>
      <c r="G28" s="13"/>
      <c r="H28" s="13"/>
    </row>
  </sheetData>
  <mergeCells count="1">
    <mergeCell ref="A28:H28"/>
  </mergeCells>
  <conditionalFormatting sqref="B6:G9">
    <cfRule type="colorScale" priority="2">
      <colorScale>
        <cfvo type="num" val="0"/>
        <cfvo type="num" val="0.19"/>
        <color rgb="FFFFFFFF"/>
        <color rgb="FF4CAF7D"/>
      </colorScale>
    </cfRule>
  </conditionalFormatting>
  <conditionalFormatting sqref="B14:G17">
    <cfRule type="colorScale" priority="3">
      <colorScale>
        <cfvo type="num" val="0"/>
        <cfvo type="num" val="0.19"/>
        <color rgb="FFFFFFFF"/>
        <color rgb="FF4CAF7D"/>
      </colorScale>
    </cfRule>
  </conditionalFormatting>
  <conditionalFormatting sqref="B22:G25">
    <cfRule type="colorScale" priority="4">
      <colorScale>
        <cfvo type="num" val="-0.02"/>
        <cfvo type="num" val="0"/>
        <cfvo type="num" val="0.02"/>
        <color rgb="FFF4777B"/>
        <color rgb="FFFFFFFF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7" min="2" style="0" width="9.51"/>
    <col collapsed="false" customWidth="true" hidden="false" outlineLevel="0" max="8" min="8" style="0" width="10"/>
  </cols>
  <sheetData>
    <row r="1" customFormat="false" ht="16.15" hidden="false" customHeight="false" outlineLevel="0" collapsed="false">
      <c r="A1" s="1" t="s">
        <v>9</v>
      </c>
    </row>
    <row r="2" customFormat="false" ht="15" hidden="false" customHeight="false" outlineLevel="0" collapsed="false">
      <c r="A2" s="2" t="s">
        <v>10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 t="n">
        <v>0</v>
      </c>
      <c r="C5" s="4" t="n">
        <v>1</v>
      </c>
      <c r="D5" s="4" t="n">
        <v>2</v>
      </c>
      <c r="E5" s="4" t="n">
        <v>3</v>
      </c>
      <c r="F5" s="4" t="n">
        <v>4</v>
      </c>
      <c r="G5" s="4" t="s">
        <v>11</v>
      </c>
      <c r="H5" s="4" t="s">
        <v>4</v>
      </c>
    </row>
    <row r="6" customFormat="false" ht="15" hidden="false" customHeight="false" outlineLevel="0" collapsed="false">
      <c r="A6" s="5" t="n">
        <v>0</v>
      </c>
      <c r="B6" s="6" t="n">
        <v>0</v>
      </c>
      <c r="C6" s="6" t="n">
        <v>0.001</v>
      </c>
      <c r="D6" s="6" t="n">
        <v>0.005</v>
      </c>
      <c r="E6" s="6" t="n">
        <v>0.013</v>
      </c>
      <c r="F6" s="6" t="n">
        <v>0.019</v>
      </c>
      <c r="G6" s="6" t="n">
        <v>0.012</v>
      </c>
      <c r="H6" s="7" t="n">
        <f aca="false">SUM(B6:G6)</f>
        <v>0.05</v>
      </c>
    </row>
    <row r="7" customFormat="false" ht="15" hidden="false" customHeight="false" outlineLevel="0" collapsed="false">
      <c r="A7" s="5" t="n">
        <v>1</v>
      </c>
      <c r="B7" s="6" t="n">
        <v>0.001</v>
      </c>
      <c r="C7" s="6" t="n">
        <v>0.013</v>
      </c>
      <c r="D7" s="6" t="n">
        <v>0.054</v>
      </c>
      <c r="E7" s="6" t="n">
        <v>0.101</v>
      </c>
      <c r="F7" s="6" t="n">
        <v>0.08</v>
      </c>
      <c r="G7" s="6" t="n">
        <v>0.014</v>
      </c>
      <c r="H7" s="7" t="n">
        <f aca="false">SUM(B7:G7)</f>
        <v>0.263</v>
      </c>
    </row>
    <row r="8" customFormat="false" ht="15" hidden="false" customHeight="false" outlineLevel="0" collapsed="false">
      <c r="A8" s="5" t="n">
        <v>2</v>
      </c>
      <c r="B8" s="6" t="n">
        <v>0.007</v>
      </c>
      <c r="C8" s="6" t="n">
        <v>0.055</v>
      </c>
      <c r="D8" s="6" t="n">
        <v>0.155</v>
      </c>
      <c r="E8" s="6" t="n">
        <v>0.155</v>
      </c>
      <c r="F8" s="6" t="n">
        <v>0.032</v>
      </c>
      <c r="G8" s="6" t="n">
        <v>0</v>
      </c>
      <c r="H8" s="7" t="n">
        <f aca="false">SUM(B8:G8)</f>
        <v>0.404</v>
      </c>
    </row>
    <row r="9" customFormat="false" ht="15" hidden="false" customHeight="false" outlineLevel="0" collapsed="false">
      <c r="A9" s="5" t="s">
        <v>5</v>
      </c>
      <c r="B9" s="6" t="n">
        <v>0.027</v>
      </c>
      <c r="C9" s="6" t="n">
        <v>0.108</v>
      </c>
      <c r="D9" s="6" t="n">
        <v>0.12</v>
      </c>
      <c r="E9" s="6" t="n">
        <v>0.026</v>
      </c>
      <c r="F9" s="6" t="n">
        <v>0</v>
      </c>
      <c r="G9" s="6" t="n">
        <v>0</v>
      </c>
      <c r="H9" s="7" t="n">
        <f aca="false">SUM(B9:G9)</f>
        <v>0.281</v>
      </c>
    </row>
    <row r="10" customFormat="false" ht="15" hidden="false" customHeight="false" outlineLevel="0" collapsed="false">
      <c r="A10" s="8" t="s">
        <v>4</v>
      </c>
      <c r="B10" s="7" t="n">
        <f aca="false">SUM(B6:B9)</f>
        <v>0.035</v>
      </c>
      <c r="C10" s="7" t="n">
        <f aca="false">SUM(C6:C9)</f>
        <v>0.177</v>
      </c>
      <c r="D10" s="7" t="n">
        <f aca="false">SUM(D6:D9)</f>
        <v>0.334</v>
      </c>
      <c r="E10" s="7" t="n">
        <f aca="false">SUM(E6:E9)</f>
        <v>0.295</v>
      </c>
      <c r="F10" s="7" t="n">
        <f aca="false">SUM(F6:F9)</f>
        <v>0.131</v>
      </c>
      <c r="G10" s="7" t="n">
        <f aca="false">SUM(G6:G9)</f>
        <v>0.026</v>
      </c>
      <c r="H10" s="7" t="n">
        <f aca="false">SUM(H6:H9)</f>
        <v>0.998</v>
      </c>
    </row>
    <row r="12" customFormat="false" ht="15" hidden="false" customHeight="false" outlineLevel="0" collapsed="false">
      <c r="A12" s="9" t="s">
        <v>6</v>
      </c>
    </row>
    <row r="13" customFormat="false" ht="15" hidden="false" customHeight="false" outlineLevel="0" collapsed="false">
      <c r="A13" s="4" t="s">
        <v>3</v>
      </c>
      <c r="B13" s="4" t="n">
        <v>0</v>
      </c>
      <c r="C13" s="4" t="n">
        <v>1</v>
      </c>
      <c r="D13" s="4" t="n">
        <v>2</v>
      </c>
      <c r="E13" s="4" t="n">
        <v>3</v>
      </c>
      <c r="F13" s="4" t="n">
        <v>4</v>
      </c>
      <c r="G13" s="4" t="s">
        <v>11</v>
      </c>
      <c r="H13" s="4" t="s">
        <v>4</v>
      </c>
    </row>
    <row r="14" customFormat="false" ht="15" hidden="false" customHeight="false" outlineLevel="0" collapsed="false">
      <c r="A14" s="5" t="n">
        <v>0</v>
      </c>
      <c r="B14" s="6" t="n">
        <v>0</v>
      </c>
      <c r="C14" s="6" t="n">
        <v>0</v>
      </c>
      <c r="D14" s="6" t="n">
        <v>0.003</v>
      </c>
      <c r="E14" s="6" t="n">
        <v>0.011</v>
      </c>
      <c r="F14" s="6" t="n">
        <v>0.018</v>
      </c>
      <c r="G14" s="6" t="n">
        <v>0.011</v>
      </c>
      <c r="H14" s="7" t="n">
        <f aca="false">SUM(B14:G14)</f>
        <v>0.043</v>
      </c>
    </row>
    <row r="15" customFormat="false" ht="15" hidden="false" customHeight="false" outlineLevel="0" collapsed="false">
      <c r="A15" s="5" t="n">
        <v>1</v>
      </c>
      <c r="B15" s="6" t="n">
        <v>0.001</v>
      </c>
      <c r="C15" s="6" t="n">
        <v>0.01</v>
      </c>
      <c r="D15" s="6" t="n">
        <v>0.05</v>
      </c>
      <c r="E15" s="6" t="n">
        <v>0.1</v>
      </c>
      <c r="F15" s="6" t="n">
        <v>0.074</v>
      </c>
      <c r="G15" s="6" t="n">
        <v>0.015</v>
      </c>
      <c r="H15" s="7" t="n">
        <f aca="false">SUM(B15:G15)</f>
        <v>0.25</v>
      </c>
    </row>
    <row r="16" customFormat="false" ht="15" hidden="false" customHeight="false" outlineLevel="0" collapsed="false">
      <c r="A16" s="5" t="n">
        <v>2</v>
      </c>
      <c r="B16" s="6" t="n">
        <v>0.006</v>
      </c>
      <c r="C16" s="6" t="n">
        <v>0.055</v>
      </c>
      <c r="D16" s="6" t="n">
        <v>0.155</v>
      </c>
      <c r="E16" s="6" t="n">
        <v>0.149</v>
      </c>
      <c r="F16" s="6" t="n">
        <v>0.038</v>
      </c>
      <c r="G16" s="6" t="n">
        <v>0</v>
      </c>
      <c r="H16" s="7" t="n">
        <f aca="false">SUM(B16:G16)</f>
        <v>0.403</v>
      </c>
    </row>
    <row r="17" customFormat="false" ht="15" hidden="false" customHeight="false" outlineLevel="0" collapsed="false">
      <c r="A17" s="5" t="s">
        <v>5</v>
      </c>
      <c r="B17" s="6" t="n">
        <v>0.029</v>
      </c>
      <c r="C17" s="6" t="n">
        <v>0.112</v>
      </c>
      <c r="D17" s="6" t="n">
        <v>0.125</v>
      </c>
      <c r="E17" s="6" t="n">
        <v>0.036</v>
      </c>
      <c r="F17" s="6" t="n">
        <v>0</v>
      </c>
      <c r="G17" s="6" t="n">
        <v>0</v>
      </c>
      <c r="H17" s="7" t="n">
        <f aca="false">SUM(B17:G17)</f>
        <v>0.302</v>
      </c>
    </row>
    <row r="18" customFormat="false" ht="15" hidden="false" customHeight="false" outlineLevel="0" collapsed="false">
      <c r="A18" s="8" t="s">
        <v>4</v>
      </c>
      <c r="B18" s="7" t="n">
        <f aca="false">SUM(B14:B17)</f>
        <v>0.036</v>
      </c>
      <c r="C18" s="7" t="n">
        <f aca="false">SUM(C14:C17)</f>
        <v>0.177</v>
      </c>
      <c r="D18" s="7" t="n">
        <f aca="false">SUM(D14:D17)</f>
        <v>0.333</v>
      </c>
      <c r="E18" s="7" t="n">
        <f aca="false">SUM(E14:E17)</f>
        <v>0.296</v>
      </c>
      <c r="F18" s="7" t="n">
        <f aca="false">SUM(F14:F17)</f>
        <v>0.13</v>
      </c>
      <c r="G18" s="7" t="n">
        <f aca="false">SUM(G14:G17)</f>
        <v>0.026</v>
      </c>
      <c r="H18" s="7" t="n">
        <f aca="false">SUM(H14:H17)</f>
        <v>0.998</v>
      </c>
    </row>
    <row r="20" customFormat="false" ht="15" hidden="false" customHeight="false" outlineLevel="0" collapsed="false">
      <c r="A20" s="10" t="s">
        <v>7</v>
      </c>
    </row>
    <row r="21" customFormat="false" ht="15" hidden="false" customHeight="false" outlineLevel="0" collapsed="false">
      <c r="A21" s="4" t="s">
        <v>3</v>
      </c>
      <c r="B21" s="4" t="n">
        <v>0</v>
      </c>
      <c r="C21" s="4" t="n">
        <v>1</v>
      </c>
      <c r="D21" s="4" t="n">
        <v>2</v>
      </c>
      <c r="E21" s="4" t="n">
        <v>3</v>
      </c>
      <c r="F21" s="4" t="n">
        <v>4</v>
      </c>
      <c r="G21" s="4" t="s">
        <v>11</v>
      </c>
      <c r="H21" s="4" t="s">
        <v>4</v>
      </c>
    </row>
    <row r="22" customFormat="false" ht="15" hidden="false" customHeight="false" outlineLevel="0" collapsed="false">
      <c r="A22" s="5" t="n">
        <v>0</v>
      </c>
      <c r="B22" s="11" t="n">
        <f aca="false">B14-B6</f>
        <v>0</v>
      </c>
      <c r="C22" s="11" t="n">
        <f aca="false">C14-C6</f>
        <v>-0.001</v>
      </c>
      <c r="D22" s="11" t="n">
        <f aca="false">D14-D6</f>
        <v>-0.002</v>
      </c>
      <c r="E22" s="11" t="n">
        <f aca="false">E14-E6</f>
        <v>-0.002</v>
      </c>
      <c r="F22" s="11" t="n">
        <f aca="false">F14-F6</f>
        <v>-0.001</v>
      </c>
      <c r="G22" s="11" t="n">
        <f aca="false">G14-G6</f>
        <v>-0.001</v>
      </c>
      <c r="H22" s="12" t="n">
        <f aca="false">SUM(B22:G22)</f>
        <v>-0.007</v>
      </c>
    </row>
    <row r="23" customFormat="false" ht="15" hidden="false" customHeight="false" outlineLevel="0" collapsed="false">
      <c r="A23" s="5" t="n">
        <v>1</v>
      </c>
      <c r="B23" s="11" t="n">
        <f aca="false">B15-B7</f>
        <v>0</v>
      </c>
      <c r="C23" s="11" t="n">
        <f aca="false">C15-C7</f>
        <v>-0.003</v>
      </c>
      <c r="D23" s="11" t="n">
        <f aca="false">D15-D7</f>
        <v>-0.00400000000000001</v>
      </c>
      <c r="E23" s="11" t="n">
        <f aca="false">E15-E7</f>
        <v>-0.001</v>
      </c>
      <c r="F23" s="11" t="n">
        <f aca="false">F15-F7</f>
        <v>-0.00599999999999999</v>
      </c>
      <c r="G23" s="11" t="n">
        <f aca="false">G15-G7</f>
        <v>0.000999999999999999</v>
      </c>
      <c r="H23" s="12" t="n">
        <f aca="false">SUM(B23:G23)</f>
        <v>-0.013</v>
      </c>
    </row>
    <row r="24" customFormat="false" ht="15" hidden="false" customHeight="false" outlineLevel="0" collapsed="false">
      <c r="A24" s="5" t="n">
        <v>2</v>
      </c>
      <c r="B24" s="11" t="n">
        <f aca="false">B16-B8</f>
        <v>-0.000999999999999999</v>
      </c>
      <c r="C24" s="11" t="n">
        <f aca="false">C16-C8</f>
        <v>0</v>
      </c>
      <c r="D24" s="11" t="n">
        <f aca="false">D16-D8</f>
        <v>0</v>
      </c>
      <c r="E24" s="11" t="n">
        <f aca="false">E16-E8</f>
        <v>-0.00600000000000001</v>
      </c>
      <c r="F24" s="11" t="n">
        <f aca="false">F16-F8</f>
        <v>0.006</v>
      </c>
      <c r="G24" s="11" t="n">
        <f aca="false">G16-G8</f>
        <v>0</v>
      </c>
      <c r="H24" s="12" t="n">
        <f aca="false">SUM(B24:G24)</f>
        <v>-0.00100000000000001</v>
      </c>
    </row>
    <row r="25" customFormat="false" ht="15" hidden="false" customHeight="false" outlineLevel="0" collapsed="false">
      <c r="A25" s="5" t="s">
        <v>5</v>
      </c>
      <c r="B25" s="11" t="n">
        <f aca="false">B17-B9</f>
        <v>0.002</v>
      </c>
      <c r="C25" s="11" t="n">
        <f aca="false">C17-C9</f>
        <v>0.004</v>
      </c>
      <c r="D25" s="11" t="n">
        <f aca="false">D17-D9</f>
        <v>0.005</v>
      </c>
      <c r="E25" s="11" t="n">
        <f aca="false">E17-E9</f>
        <v>0.01</v>
      </c>
      <c r="F25" s="11" t="n">
        <f aca="false">F17-F9</f>
        <v>0</v>
      </c>
      <c r="G25" s="11" t="n">
        <f aca="false">G17-G9</f>
        <v>0</v>
      </c>
      <c r="H25" s="12" t="n">
        <f aca="false">SUM(B25:G25)</f>
        <v>0.021</v>
      </c>
    </row>
    <row r="26" customFormat="false" ht="15" hidden="false" customHeight="false" outlineLevel="0" collapsed="false">
      <c r="A26" s="8" t="s">
        <v>4</v>
      </c>
      <c r="B26" s="12" t="n">
        <f aca="false">SUM(B22:B25)</f>
        <v>0.001</v>
      </c>
      <c r="C26" s="12" t="n">
        <f aca="false">SUM(C22:C25)</f>
        <v>0</v>
      </c>
      <c r="D26" s="12" t="n">
        <f aca="false">SUM(D22:D25)</f>
        <v>-0.00100000000000001</v>
      </c>
      <c r="E26" s="12" t="n">
        <f aca="false">SUM(E22:E25)</f>
        <v>0.000999999999999992</v>
      </c>
      <c r="F26" s="12" t="n">
        <f aca="false">SUM(F22:F25)</f>
        <v>-0.000999999999999994</v>
      </c>
      <c r="G26" s="12" t="n">
        <f aca="false">SUM(G22:G25)</f>
        <v>0</v>
      </c>
      <c r="H26" s="12" t="n">
        <f aca="false">SUM(H22:H25)</f>
        <v>0</v>
      </c>
    </row>
    <row r="28" customFormat="false" ht="15" hidden="false" customHeight="false" outlineLevel="0" collapsed="false">
      <c r="A28" s="13" t="s">
        <v>8</v>
      </c>
      <c r="B28" s="13"/>
      <c r="C28" s="13"/>
      <c r="D28" s="13"/>
      <c r="E28" s="13"/>
      <c r="F28" s="13"/>
      <c r="G28" s="13"/>
      <c r="H28" s="13"/>
    </row>
  </sheetData>
  <mergeCells count="1">
    <mergeCell ref="A28:H28"/>
  </mergeCells>
  <conditionalFormatting sqref="B6:G9">
    <cfRule type="colorScale" priority="2">
      <colorScale>
        <cfvo type="num" val="0"/>
        <cfvo type="num" val="0.19"/>
        <color rgb="FFFFFFFF"/>
        <color rgb="FF4CAF7D"/>
      </colorScale>
    </cfRule>
  </conditionalFormatting>
  <conditionalFormatting sqref="B14:G17">
    <cfRule type="colorScale" priority="3">
      <colorScale>
        <cfvo type="num" val="0"/>
        <cfvo type="num" val="0.19"/>
        <color rgb="FFFFFFFF"/>
        <color rgb="FF4CAF7D"/>
      </colorScale>
    </cfRule>
  </conditionalFormatting>
  <conditionalFormatting sqref="B22:G25">
    <cfRule type="colorScale" priority="4">
      <colorScale>
        <cfvo type="num" val="-0.02"/>
        <cfvo type="num" val="0"/>
        <cfvo type="num" val="0.02"/>
        <color rgb="FFF4777B"/>
        <color rgb="FFFFFFFF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7" min="2" style="0" width="11"/>
    <col collapsed="false" customWidth="true" hidden="false" outlineLevel="0" max="8" min="8" style="0" width="13"/>
  </cols>
  <sheetData>
    <row r="1" customFormat="false" ht="16.15" hidden="false" customHeight="false" outlineLevel="0" collapsed="false">
      <c r="A1" s="1" t="s">
        <v>12</v>
      </c>
    </row>
    <row r="2" customFormat="false" ht="15" hidden="false" customHeight="false" outlineLevel="0" collapsed="false">
      <c r="A2" s="2" t="s">
        <v>13</v>
      </c>
    </row>
    <row r="4" customFormat="false" ht="15" hidden="false" customHeight="false" outlineLevel="0" collapsed="false">
      <c r="A4" s="14" t="s">
        <v>14</v>
      </c>
      <c r="B4" s="4" t="s">
        <v>15</v>
      </c>
      <c r="C4" s="4" t="s">
        <v>16</v>
      </c>
      <c r="D4" s="4" t="s">
        <v>17</v>
      </c>
      <c r="E4" s="4" t="s">
        <v>18</v>
      </c>
      <c r="F4" s="4" t="s">
        <v>19</v>
      </c>
      <c r="G4" s="4" t="s">
        <v>20</v>
      </c>
      <c r="H4" s="4" t="s">
        <v>21</v>
      </c>
    </row>
    <row r="5" customFormat="false" ht="15" hidden="false" customHeight="false" outlineLevel="0" collapsed="false">
      <c r="A5" s="15" t="s">
        <v>22</v>
      </c>
      <c r="B5" s="16" t="n">
        <f aca="false">'Going First'!$H$6</f>
        <v>0.092</v>
      </c>
      <c r="C5" s="16" t="n">
        <f aca="false">'Going First'!$H$14</f>
        <v>0.083</v>
      </c>
      <c r="D5" s="17" t="n">
        <f aca="false">C5-B5</f>
        <v>-0.00899999999999998</v>
      </c>
      <c r="E5" s="16" t="n">
        <f aca="false">'Going Second'!$H$6</f>
        <v>0.05</v>
      </c>
      <c r="F5" s="16" t="n">
        <f aca="false">'Going Second'!$H$14</f>
        <v>0.043</v>
      </c>
      <c r="G5" s="17" t="n">
        <f aca="false">F5-E5</f>
        <v>-0.00700000000000001</v>
      </c>
      <c r="H5" s="18" t="s">
        <v>23</v>
      </c>
    </row>
    <row r="6" customFormat="false" ht="15" hidden="false" customHeight="false" outlineLevel="0" collapsed="false">
      <c r="A6" s="15" t="s">
        <v>24</v>
      </c>
      <c r="B6" s="16" t="n">
        <f aca="false">SUM('Going First'!$H$7:$H$9)</f>
        <v>0.909</v>
      </c>
      <c r="C6" s="16" t="n">
        <f aca="false">SUM('Going First'!$H$15:$H$17)</f>
        <v>0.916</v>
      </c>
      <c r="D6" s="17" t="n">
        <f aca="false">C6-B6</f>
        <v>0.00700000000000001</v>
      </c>
      <c r="E6" s="16" t="n">
        <f aca="false">SUM('Going Second'!$H$7:$H$9)</f>
        <v>0.948</v>
      </c>
      <c r="F6" s="16" t="n">
        <f aca="false">SUM('Going Second'!$H$15:$H$17)</f>
        <v>0.955</v>
      </c>
      <c r="G6" s="17" t="n">
        <f aca="false">F6-E6</f>
        <v>0.00700000000000001</v>
      </c>
      <c r="H6" s="18" t="s">
        <v>25</v>
      </c>
    </row>
    <row r="7" customFormat="false" ht="15" hidden="false" customHeight="false" outlineLevel="0" collapsed="false">
      <c r="A7" s="15" t="s">
        <v>26</v>
      </c>
      <c r="B7" s="16" t="n">
        <f aca="false">SUM('Going First'!$H$8:$H$9)</f>
        <v>0.558</v>
      </c>
      <c r="C7" s="16" t="n">
        <f aca="false">SUM('Going First'!$H$16:$H$17)</f>
        <v>0.578</v>
      </c>
      <c r="D7" s="17" t="n">
        <f aca="false">C7-B7</f>
        <v>0.0199999999999999</v>
      </c>
      <c r="E7" s="16" t="n">
        <f aca="false">SUM('Going Second'!$H$8:$H$9)</f>
        <v>0.685</v>
      </c>
      <c r="F7" s="16" t="n">
        <f aca="false">SUM('Going Second'!$H$16:$H$17)</f>
        <v>0.705</v>
      </c>
      <c r="G7" s="17" t="n">
        <f aca="false">F7-E7</f>
        <v>0.0199999999999999</v>
      </c>
      <c r="H7" s="18" t="s">
        <v>25</v>
      </c>
    </row>
    <row r="8" customFormat="false" ht="15" hidden="false" customHeight="false" outlineLevel="0" collapsed="false">
      <c r="A8" s="15" t="s">
        <v>27</v>
      </c>
      <c r="B8" s="16" t="n">
        <f aca="false">'Going First'!$H$9</f>
        <v>0.166</v>
      </c>
      <c r="C8" s="16" t="n">
        <f aca="false">'Going First'!$H$17</f>
        <v>0.183</v>
      </c>
      <c r="D8" s="17" t="n">
        <f aca="false">C8-B8</f>
        <v>0.017</v>
      </c>
      <c r="E8" s="16" t="n">
        <f aca="false">'Going Second'!$H$9</f>
        <v>0.281</v>
      </c>
      <c r="F8" s="16" t="n">
        <f aca="false">'Going Second'!$H$17</f>
        <v>0.302</v>
      </c>
      <c r="G8" s="17" t="n">
        <f aca="false">F8-E8</f>
        <v>0.021</v>
      </c>
      <c r="H8" s="18" t="s">
        <v>25</v>
      </c>
    </row>
    <row r="9" customFormat="false" ht="15" hidden="false" customHeight="false" outlineLevel="0" collapsed="false">
      <c r="A9" s="15" t="s">
        <v>28</v>
      </c>
      <c r="B9" s="16" t="n">
        <f aca="false">'Going First'!$B$10</f>
        <v>0.124</v>
      </c>
      <c r="C9" s="16" t="n">
        <f aca="false">'Going First'!$B$18</f>
        <v>0.18</v>
      </c>
      <c r="D9" s="17" t="n">
        <f aca="false">C9-B9</f>
        <v>0.056</v>
      </c>
      <c r="E9" s="16" t="n">
        <f aca="false">'Going Second'!$B$10</f>
        <v>0.035</v>
      </c>
      <c r="F9" s="16" t="n">
        <f aca="false">'Going Second'!$B$18</f>
        <v>0.036</v>
      </c>
      <c r="G9" s="17" t="n">
        <f aca="false">F9-E9</f>
        <v>0.00100000000000001</v>
      </c>
      <c r="H9" s="18" t="s">
        <v>23</v>
      </c>
    </row>
    <row r="10" customFormat="false" ht="15" hidden="false" customHeight="false" outlineLevel="0" collapsed="false">
      <c r="A10" s="15" t="s">
        <v>29</v>
      </c>
      <c r="B10" s="16" t="n">
        <f aca="false">SUM('Going First'!$C$10:$G$10)</f>
        <v>0.877</v>
      </c>
      <c r="C10" s="16" t="n">
        <f aca="false">SUM('Going First'!$C$18:$G$18)</f>
        <v>0.819</v>
      </c>
      <c r="D10" s="17" t="n">
        <f aca="false">C10-B10</f>
        <v>-0.0579999999999999</v>
      </c>
      <c r="E10" s="16" t="n">
        <f aca="false">SUM('Going Second'!$C$10:$G$10)</f>
        <v>0.963</v>
      </c>
      <c r="F10" s="16" t="n">
        <f aca="false">SUM('Going Second'!$C$18:$G$18)</f>
        <v>0.962</v>
      </c>
      <c r="G10" s="17" t="n">
        <f aca="false">F10-E10</f>
        <v>-0.00100000000000011</v>
      </c>
      <c r="H10" s="18" t="s">
        <v>25</v>
      </c>
    </row>
    <row r="11" customFormat="false" ht="15" hidden="false" customHeight="false" outlineLevel="0" collapsed="false">
      <c r="A11" s="15" t="s">
        <v>30</v>
      </c>
      <c r="B11" s="16" t="n">
        <f aca="false">SUM('Going First'!$D$10:$G$10)</f>
        <v>0.499</v>
      </c>
      <c r="C11" s="16" t="n">
        <f aca="false">SUM('Going First'!$D$18:$G$18)</f>
        <v>0.382</v>
      </c>
      <c r="D11" s="17" t="n">
        <f aca="false">C11-B11</f>
        <v>-0.117</v>
      </c>
      <c r="E11" s="16" t="n">
        <f aca="false">SUM('Going Second'!$D$10:$G$10)</f>
        <v>0.786</v>
      </c>
      <c r="F11" s="16" t="n">
        <f aca="false">SUM('Going Second'!$D$18:$G$18)</f>
        <v>0.785</v>
      </c>
      <c r="G11" s="17" t="n">
        <f aca="false">F11-E11</f>
        <v>-0.001</v>
      </c>
      <c r="H11" s="18" t="s">
        <v>25</v>
      </c>
    </row>
    <row r="12" customFormat="false" ht="15" hidden="false" customHeight="false" outlineLevel="0" collapsed="false">
      <c r="A12" s="15" t="s">
        <v>31</v>
      </c>
      <c r="B12" s="16" t="n">
        <f aca="false">SUM('Going First'!$E$10:$G$10)</f>
        <v>0.144</v>
      </c>
      <c r="C12" s="16" t="n">
        <f aca="false">SUM('Going First'!$E$18:$G$18)</f>
        <v>0.079</v>
      </c>
      <c r="D12" s="17" t="n">
        <f aca="false">C12-B12</f>
        <v>-0.065</v>
      </c>
      <c r="E12" s="16" t="n">
        <f aca="false">SUM('Going Second'!$E$10:$G$10)</f>
        <v>0.452</v>
      </c>
      <c r="F12" s="16" t="n">
        <f aca="false">SUM('Going Second'!$E$18:$G$18)</f>
        <v>0.452</v>
      </c>
      <c r="G12" s="17" t="n">
        <f aca="false">F12-E12</f>
        <v>0</v>
      </c>
      <c r="H12" s="18" t="s">
        <v>32</v>
      </c>
    </row>
    <row r="13" customFormat="false" ht="15" hidden="false" customHeight="false" outlineLevel="0" collapsed="false">
      <c r="A13" s="15" t="s">
        <v>33</v>
      </c>
      <c r="B13" s="16" t="n">
        <f aca="false">SUM('Going First'!$C$7:$G$9)</f>
        <v>0.787</v>
      </c>
      <c r="C13" s="16" t="n">
        <f aca="false">SUM('Going First'!$C$15:$G$17)</f>
        <v>0.739</v>
      </c>
      <c r="D13" s="17" t="n">
        <f aca="false">C13-B13</f>
        <v>-0.0479999999999999</v>
      </c>
      <c r="E13" s="16" t="n">
        <f aca="false">SUM('Going Second'!$C$7:$G$9)</f>
        <v>0.913</v>
      </c>
      <c r="F13" s="16" t="n">
        <f aca="false">SUM('Going Second'!$C$15:$G$17)</f>
        <v>0.919</v>
      </c>
      <c r="G13" s="17" t="n">
        <f aca="false">F13-E13</f>
        <v>0.00600000000000001</v>
      </c>
      <c r="H13" s="18" t="s">
        <v>25</v>
      </c>
    </row>
    <row r="14" customFormat="false" ht="15" hidden="false" customHeight="false" outlineLevel="0" collapsed="false">
      <c r="A14" s="15" t="s">
        <v>34</v>
      </c>
      <c r="B14" s="16" t="n">
        <f aca="false">SUM('Going First'!$D$8:$G$9)</f>
        <v>0.186</v>
      </c>
      <c r="C14" s="16" t="n">
        <f aca="false">SUM('Going First'!$D$16:$G$17)</f>
        <v>0.142</v>
      </c>
      <c r="D14" s="17" t="n">
        <f aca="false">C14-B14</f>
        <v>-0.044</v>
      </c>
      <c r="E14" s="16" t="n">
        <f aca="false">SUM('Going Second'!$D$8:$G$9)</f>
        <v>0.488</v>
      </c>
      <c r="F14" s="16" t="n">
        <f aca="false">SUM('Going Second'!$D$16:$G$17)</f>
        <v>0.503</v>
      </c>
      <c r="G14" s="17" t="n">
        <f aca="false">F14-E14</f>
        <v>0.015</v>
      </c>
      <c r="H14" s="18" t="s">
        <v>25</v>
      </c>
    </row>
    <row r="15" customFormat="false" ht="15" hidden="false" customHeight="false" outlineLevel="0" collapsed="false">
      <c r="A15" s="15" t="s">
        <v>35</v>
      </c>
      <c r="B15" s="19" t="n">
        <f aca="false">'Going First'!$H$7*1+'Going First'!$H$8*2+'Going First'!$H$9*3</f>
        <v>1.633</v>
      </c>
      <c r="C15" s="19" t="n">
        <f aca="false">'Going First'!$H$15*1+'Going First'!$H$16*2+'Going First'!$H$17*3</f>
        <v>1.677</v>
      </c>
      <c r="D15" s="20" t="n">
        <f aca="false">C15-B15</f>
        <v>0.044</v>
      </c>
      <c r="E15" s="19" t="n">
        <f aca="false">'Going Second'!$H$7*1+'Going Second'!$H$8*2+'Going Second'!$H$9*3</f>
        <v>1.914</v>
      </c>
      <c r="F15" s="19" t="n">
        <f aca="false">'Going Second'!$H$15*1+'Going Second'!$H$16*2+'Going Second'!$H$17*3</f>
        <v>1.962</v>
      </c>
      <c r="G15" s="20" t="n">
        <f aca="false">F15-E15</f>
        <v>0.0479999999999998</v>
      </c>
      <c r="H15" s="18" t="s">
        <v>25</v>
      </c>
    </row>
    <row r="16" customFormat="false" ht="15" hidden="false" customHeight="false" outlineLevel="0" collapsed="false">
      <c r="A16" s="15" t="s">
        <v>36</v>
      </c>
      <c r="B16" s="19" t="n">
        <f aca="false">'Going First'!$C$10*1+'Going First'!$D$10*2+'Going First'!$E$10*3+'Going First'!$F$10*4+'Going First'!$G$10*5</f>
        <v>1.539</v>
      </c>
      <c r="C16" s="19" t="n">
        <f aca="false">'Going First'!$C$18*1+'Going First'!$D$18*2+'Going First'!$E$18*3+'Going First'!$F$18*4+'Going First'!$G$18*5</f>
        <v>1.286</v>
      </c>
      <c r="D16" s="20" t="n">
        <f aca="false">C16-B16</f>
        <v>-0.253</v>
      </c>
      <c r="E16" s="19" t="n">
        <f aca="false">'Going Second'!$C$10*1+'Going Second'!$D$10*2+'Going Second'!$E$10*3+'Going Second'!$F$10*4+'Going Second'!$G$10*5</f>
        <v>2.384</v>
      </c>
      <c r="F16" s="19" t="n">
        <f aca="false">'Going Second'!$C$18*1+'Going Second'!$D$18*2+'Going Second'!$E$18*3+'Going Second'!$F$18*4+'Going Second'!$G$18*5</f>
        <v>2.381</v>
      </c>
      <c r="G16" s="20" t="n">
        <f aca="false">F16-E16</f>
        <v>-0.00300000000000011</v>
      </c>
      <c r="H16" s="18" t="s">
        <v>25</v>
      </c>
    </row>
    <row r="18" customFormat="false" ht="15" hidden="false" customHeight="false" outlineLevel="0" collapsed="false">
      <c r="A18" s="13" t="s">
        <v>37</v>
      </c>
      <c r="B18" s="13"/>
      <c r="C18" s="13"/>
      <c r="D18" s="13"/>
      <c r="E18" s="13"/>
      <c r="F18" s="13"/>
      <c r="G18" s="13"/>
      <c r="H18" s="13"/>
    </row>
    <row r="20" customFormat="false" ht="15" hidden="false" customHeight="false" outlineLevel="0" collapsed="false">
      <c r="A20" s="13" t="s">
        <v>38</v>
      </c>
      <c r="B20" s="13"/>
      <c r="C20" s="13"/>
      <c r="D20" s="13"/>
      <c r="E20" s="13"/>
      <c r="F20" s="13"/>
      <c r="G20" s="13"/>
      <c r="H20" s="13"/>
    </row>
  </sheetData>
  <mergeCells count="2">
    <mergeCell ref="A18:H18"/>
    <mergeCell ref="A20:H20"/>
  </mergeCells>
  <conditionalFormatting sqref="D5:D14">
    <cfRule type="colorScale" priority="2">
      <colorScale>
        <cfvo type="num" val="-0.03"/>
        <cfvo type="num" val="0"/>
        <cfvo type="num" val="0.03"/>
        <color rgb="FFF4777B"/>
        <color rgb="FFFFFFFF"/>
        <color rgb="FF63BE7B"/>
      </colorScale>
    </cfRule>
  </conditionalFormatting>
  <conditionalFormatting sqref="G5:G14">
    <cfRule type="colorScale" priority="3">
      <colorScale>
        <cfvo type="num" val="-0.03"/>
        <cfvo type="num" val="0"/>
        <cfvo type="num" val="0.03"/>
        <color rgb="FFF4777B"/>
        <color rgb="FFFFFFFF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2026-08-11T22:44:54Z</dcterms:created>
  <dc:creator>openpyxl</dc:creator>
  <dc:description/>
  <dc:language>en-US</dc:language>
  <cp:lastModifiedBy/>
  <dcterms:modified xsi:type="dcterms:W3CDTF">2026-08-11T22:44:54Z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